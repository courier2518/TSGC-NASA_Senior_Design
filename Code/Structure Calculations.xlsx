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narc\GitHub\TSGC-NASA_Senior_Design\Code\"/>
    </mc:Choice>
  </mc:AlternateContent>
  <xr:revisionPtr revIDLastSave="0" documentId="13_ncr:1_{9942A62C-A9EB-413E-9BF1-D03F8D4B077D}" xr6:coauthVersionLast="47" xr6:coauthVersionMax="47" xr10:uidLastSave="{00000000-0000-0000-0000-000000000000}"/>
  <bookViews>
    <workbookView xWindow="86280" yWindow="-120" windowWidth="29040" windowHeight="18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3" i="1"/>
  <c r="G12" i="1"/>
  <c r="G10" i="1"/>
  <c r="G9" i="1"/>
  <c r="G8" i="1"/>
  <c r="D14" i="1"/>
  <c r="G7" i="1"/>
  <c r="G6" i="1"/>
  <c r="G5" i="1"/>
</calcChain>
</file>

<file path=xl/sharedStrings.xml><?xml version="1.0" encoding="utf-8"?>
<sst xmlns="http://schemas.openxmlformats.org/spreadsheetml/2006/main" count="21" uniqueCount="21">
  <si>
    <t xml:space="preserve"> </t>
  </si>
  <si>
    <t>Pressure Shell Structural Calculations</t>
  </si>
  <si>
    <t>Inputs</t>
  </si>
  <si>
    <t>Mass(kg)</t>
  </si>
  <si>
    <t>Elastic Modulus</t>
  </si>
  <si>
    <t>Poissons Ratio</t>
  </si>
  <si>
    <t>Values</t>
  </si>
  <si>
    <t>Pressure (Pa)</t>
  </si>
  <si>
    <t>Thickness(m)</t>
  </si>
  <si>
    <t>Length(m)</t>
  </si>
  <si>
    <t>Radius(m)</t>
  </si>
  <si>
    <t>Hoop Stress (σh​=pr/t), Pa</t>
  </si>
  <si>
    <t>Axial Stress (𝜎a=pr/2t), Pa</t>
  </si>
  <si>
    <t>Distributed Load (mg/L), N/m</t>
  </si>
  <si>
    <t>Max Deflection(m), 𝛿</t>
  </si>
  <si>
    <t>Global Bending (EI = 5wL^4/384𝛿), N/m^2</t>
  </si>
  <si>
    <t>Spine Stiffness (70% EI), N/m^2</t>
  </si>
  <si>
    <t>Spine Inertia (EI/E)</t>
  </si>
  <si>
    <t>Hoop Strain (pr/Et)*(1-v/2)</t>
  </si>
  <si>
    <t>Radial Expansion (pr^2/Et)*(1-v/2), m</t>
  </si>
  <si>
    <t>Axial Strain (pr/Et)*(1/2 - 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</si>
</sst>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 Nova"/>
      <family val="2"/>
    </font>
    <font>
      <b/>
      <sz val="11"/>
      <color theme="1"/>
      <name val="Arial Nov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activeCell="D21" sqref="D21"/>
    </sheetView>
  </sheetViews>
  <sheetFormatPr defaultRowHeight="15" x14ac:dyDescent="0.25"/>
  <cols>
    <col min="3" max="3" width="21.5703125" customWidth="1"/>
    <col min="4" max="4" width="13.7109375" bestFit="1" customWidth="1"/>
    <col min="6" max="6" width="40" customWidth="1"/>
    <col min="7" max="7" width="15.42578125" customWidth="1"/>
  </cols>
  <sheetData>
    <row r="1" spans="1:8" x14ac:dyDescent="0.25">
      <c r="A1" t="s">
        <v>0</v>
      </c>
    </row>
    <row r="2" spans="1:8" x14ac:dyDescent="0.25">
      <c r="B2" s="1" t="s">
        <v>1</v>
      </c>
      <c r="C2" s="1"/>
      <c r="D2" s="1"/>
      <c r="E2" s="1"/>
      <c r="F2" s="1"/>
      <c r="G2" s="1"/>
      <c r="H2" s="1"/>
    </row>
    <row r="3" spans="1:8" x14ac:dyDescent="0.25">
      <c r="B3" s="1"/>
      <c r="C3" s="1"/>
      <c r="D3" s="1"/>
      <c r="E3" s="1"/>
      <c r="F3" s="1"/>
      <c r="G3" s="1"/>
      <c r="H3" s="1"/>
    </row>
    <row r="4" spans="1:8" x14ac:dyDescent="0.25">
      <c r="B4" s="1"/>
      <c r="C4" s="1"/>
      <c r="D4" s="1"/>
      <c r="E4" s="1"/>
      <c r="F4" s="1"/>
      <c r="G4" s="1"/>
      <c r="H4" s="1"/>
    </row>
    <row r="5" spans="1:8" x14ac:dyDescent="0.25">
      <c r="B5" s="1"/>
      <c r="C5" s="2" t="s">
        <v>2</v>
      </c>
      <c r="D5" s="2" t="s">
        <v>6</v>
      </c>
      <c r="E5" s="1"/>
      <c r="F5" s="2" t="s">
        <v>11</v>
      </c>
      <c r="G5" s="3">
        <f>(D10*D12)/D11</f>
        <v>47975000</v>
      </c>
      <c r="H5" s="1"/>
    </row>
    <row r="6" spans="1:8" x14ac:dyDescent="0.25">
      <c r="B6" s="1"/>
      <c r="C6" s="3" t="s">
        <v>3</v>
      </c>
      <c r="D6" s="3">
        <v>8000</v>
      </c>
      <c r="E6" s="1"/>
      <c r="F6" s="2" t="s">
        <v>12</v>
      </c>
      <c r="G6" s="3">
        <f>(D10*D12)/(2*D11)</f>
        <v>23987500</v>
      </c>
      <c r="H6" s="1"/>
    </row>
    <row r="7" spans="1:8" x14ac:dyDescent="0.25">
      <c r="B7" s="1"/>
      <c r="C7" s="3" t="s">
        <v>9</v>
      </c>
      <c r="D7" s="3">
        <v>12</v>
      </c>
      <c r="E7" s="1"/>
      <c r="F7" s="2" t="s">
        <v>13</v>
      </c>
      <c r="G7" s="3">
        <f>(D6*9.81)/D7</f>
        <v>6540</v>
      </c>
      <c r="H7" s="1"/>
    </row>
    <row r="8" spans="1:8" x14ac:dyDescent="0.25">
      <c r="B8" s="1"/>
      <c r="C8" s="3" t="s">
        <v>4</v>
      </c>
      <c r="D8" s="3">
        <v>70000000000</v>
      </c>
      <c r="E8" s="1"/>
      <c r="F8" s="2" t="s">
        <v>15</v>
      </c>
      <c r="G8" s="3">
        <f>(5*G7*(D7^4))/(384*D14)</f>
        <v>88290000</v>
      </c>
      <c r="H8" s="1"/>
    </row>
    <row r="9" spans="1:8" x14ac:dyDescent="0.25">
      <c r="B9" s="1"/>
      <c r="C9" s="3" t="s">
        <v>5</v>
      </c>
      <c r="D9" s="3">
        <v>0.33</v>
      </c>
      <c r="E9" s="1"/>
      <c r="F9" s="2" t="s">
        <v>16</v>
      </c>
      <c r="G9" s="3">
        <f>G8*0.7</f>
        <v>61802999.999999993</v>
      </c>
      <c r="H9" s="1"/>
    </row>
    <row r="10" spans="1:8" x14ac:dyDescent="0.25">
      <c r="B10" s="1"/>
      <c r="C10" s="3" t="s">
        <v>7</v>
      </c>
      <c r="D10" s="3">
        <v>101000</v>
      </c>
      <c r="E10" s="1"/>
      <c r="F10" s="2" t="s">
        <v>17</v>
      </c>
      <c r="G10" s="3">
        <f>G9/D8</f>
        <v>8.8289999999999994E-4</v>
      </c>
      <c r="H10" s="1"/>
    </row>
    <row r="11" spans="1:8" x14ac:dyDescent="0.25">
      <c r="B11" s="1"/>
      <c r="C11" s="3" t="s">
        <v>8</v>
      </c>
      <c r="D11" s="3">
        <v>5.0000000000000001E-3</v>
      </c>
      <c r="E11" s="1"/>
      <c r="F11" s="1"/>
      <c r="G11" s="1"/>
      <c r="H11" s="1"/>
    </row>
    <row r="12" spans="1:8" x14ac:dyDescent="0.25">
      <c r="B12" s="1"/>
      <c r="C12" s="3" t="s">
        <v>10</v>
      </c>
      <c r="D12" s="3">
        <v>2.375</v>
      </c>
      <c r="E12" s="1"/>
      <c r="F12" s="2" t="s">
        <v>18</v>
      </c>
      <c r="G12" s="3">
        <f>((D10*D12)/(D8*D11))*(1-(D9/2))</f>
        <v>5.7227321428571427E-4</v>
      </c>
      <c r="H12" s="1"/>
    </row>
    <row r="13" spans="1:8" x14ac:dyDescent="0.25">
      <c r="B13" s="1"/>
      <c r="C13" s="3"/>
      <c r="D13" s="3"/>
      <c r="E13" s="1"/>
      <c r="F13" s="2" t="s">
        <v>19</v>
      </c>
      <c r="G13" s="3">
        <f>((D10*D12^2)/(D8*D11))*(1-(D9/2))</f>
        <v>1.3591488839285715E-3</v>
      </c>
      <c r="H13" s="1"/>
    </row>
    <row r="14" spans="1:8" x14ac:dyDescent="0.25">
      <c r="B14" s="1"/>
      <c r="C14" s="3" t="s">
        <v>14</v>
      </c>
      <c r="D14" s="3">
        <f>D7/600</f>
        <v>0.02</v>
      </c>
      <c r="E14" s="1"/>
      <c r="F14" s="2" t="s">
        <v>20</v>
      </c>
      <c r="G14" s="3">
        <f>((D10*D12)/(D8*D11))*(0.5-D9)</f>
        <v>1.1651071428571427E-4</v>
      </c>
      <c r="H14" s="1"/>
    </row>
    <row r="15" spans="1:8" x14ac:dyDescent="0.25">
      <c r="B15" s="1"/>
      <c r="C15" s="1"/>
      <c r="D15" s="1"/>
      <c r="E15" s="1"/>
      <c r="F15" s="1"/>
      <c r="G15" s="1"/>
      <c r="H15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anarc</dc:creator>
  <cp:lastModifiedBy>Brandon Portillo</cp:lastModifiedBy>
  <dcterms:created xsi:type="dcterms:W3CDTF">2015-06-05T18:17:20Z</dcterms:created>
  <dcterms:modified xsi:type="dcterms:W3CDTF">2025-10-21T21:10:47Z</dcterms:modified>
</cp:coreProperties>
</file>